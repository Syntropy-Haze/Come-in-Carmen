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2" codeName="{E5D1E7B1-6628-F0F0-D09B-76B25B5F3CD3}"/>
  <workbookPr codeName="ThisWorkbook" defaultThemeVersion="202300"/>
  <mc:AlternateContent xmlns:mc="http://schemas.openxmlformats.org/markup-compatibility/2006">
    <mc:Choice Requires="x15">
      <x15ac:absPath xmlns:x15ac="http://schemas.microsoft.com/office/spreadsheetml/2010/11/ac" url="https://d.docs.live.net/cb9c47a8164e16a4/Syntropy_Haze_OneDrive/SH_resonancev3/SH_galaxy_brain/"/>
    </mc:Choice>
  </mc:AlternateContent>
  <xr:revisionPtr revIDLastSave="483" documentId="8_{44E8782A-541B-264A-848C-35947F0D00A5}" xr6:coauthVersionLast="47" xr6:coauthVersionMax="47" xr10:uidLastSave="{3E0603F8-FF32-0348-8EE1-AF06588767BB}"/>
  <bookViews>
    <workbookView xWindow="0" yWindow="660" windowWidth="30240" windowHeight="17740" xr2:uid="{1047FC0B-6154-5F49-9AB4-5D2E297D355D}"/>
  </bookViews>
  <sheets>
    <sheet name="Sheet1" sheetId="1" r:id="rId1"/>
  </sheets>
  <definedNames>
    <definedName name="_xleta.NOW" hidden="1" xlm="1">#NAME?</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5" i="1" l="1"/>
  <c r="I24" i="1"/>
  <c r="I23" i="1"/>
  <c r="I22" i="1"/>
  <c r="I21" i="1"/>
  <c r="I20" i="1"/>
  <c r="I19" i="1"/>
  <c r="I18" i="1"/>
  <c r="I17" i="1"/>
  <c r="I16" i="1"/>
  <c r="I15" i="1"/>
  <c r="I14" i="1"/>
  <c r="I13" i="1"/>
  <c r="I12" i="1"/>
  <c r="I11" i="1"/>
  <c r="I10" i="1"/>
  <c r="I9" i="1"/>
  <c r="I8" i="1"/>
  <c r="F2" i="1"/>
  <c r="F9" i="1"/>
  <c r="F10" i="1"/>
  <c r="F11" i="1"/>
  <c r="F12" i="1"/>
  <c r="F13" i="1"/>
  <c r="F14" i="1"/>
  <c r="F15" i="1"/>
  <c r="F16" i="1"/>
  <c r="F17" i="1"/>
  <c r="F18" i="1"/>
  <c r="F19" i="1"/>
  <c r="F20" i="1"/>
  <c r="F21" i="1"/>
  <c r="F22" i="1"/>
  <c r="F23" i="1"/>
  <c r="F24" i="1"/>
  <c r="F8" i="1"/>
</calcChain>
</file>

<file path=xl/sharedStrings.xml><?xml version="1.0" encoding="utf-8"?>
<sst xmlns="http://schemas.openxmlformats.org/spreadsheetml/2006/main" count="47" uniqueCount="40">
  <si>
    <t>Start Control 2</t>
  </si>
  <si>
    <t>Start Control 1</t>
  </si>
  <si>
    <t>End Control 1</t>
  </si>
  <si>
    <t>End Control 2</t>
  </si>
  <si>
    <t>Start Control 3</t>
  </si>
  <si>
    <t>End Control 3</t>
  </si>
  <si>
    <t>Start Control 4</t>
  </si>
  <si>
    <t>End Control 4</t>
  </si>
  <si>
    <t>CTRL + SHIFT + T</t>
  </si>
  <si>
    <r>
      <rPr>
        <b/>
        <sz val="11"/>
        <color theme="1"/>
        <rFont val="Calibri"/>
        <family val="2"/>
      </rPr>
      <t xml:space="preserve">Timestamp </t>
    </r>
    <r>
      <rPr>
        <sz val="11"/>
        <color theme="1"/>
        <rFont val="Calibri"/>
        <family val="2"/>
      </rPr>
      <t>(note - rounds to nearest second)</t>
    </r>
  </si>
  <si>
    <t>Notes:</t>
  </si>
  <si>
    <t>Jan 11 2026 (evening) into Jan 12 2026 (morning)</t>
  </si>
  <si>
    <t>Check file</t>
  </si>
  <si>
    <t>Run 1 (Jan 12)</t>
  </si>
  <si>
    <t>Vid Recording Started</t>
  </si>
  <si>
    <t>Vid Recording Ended</t>
  </si>
  <si>
    <t>Manually Recorded Timestamp - Absolute (Prelim.)</t>
  </si>
  <si>
    <t>Elapsed Video Time - Reconciled Post Hoc (For Calculation)</t>
  </si>
  <si>
    <t>Reconciled Timestamp - Absolute
**Use For Analysis**</t>
  </si>
  <si>
    <t>Note: Manually Recorded during Session. Time stamp per computer. Preliminary estimate.</t>
  </si>
  <si>
    <t>Elapsed time per video recording. Based on post hoc review. Use for calculation.</t>
  </si>
  <si>
    <t>Formula &gt;&gt;</t>
  </si>
  <si>
    <t>Run 2 (Jan 12)</t>
  </si>
  <si>
    <t>**CLEANED &amp; VALIDATED DATA** 
** USE FOR ANY ANALYSES **</t>
  </si>
  <si>
    <t>Timing Targets</t>
  </si>
  <si>
    <t>Target 1min for all "control" and "condition" periods. Minimize "lag time" between periods, but expect some (at minimum).</t>
  </si>
  <si>
    <t>See above for all (1min periods)</t>
  </si>
  <si>
    <t>Based on Recording Start timestamp (pasted, first data row) and elapsed time values (calculated from column to left)</t>
  </si>
  <si>
    <t>1st Light in Place</t>
  </si>
  <si>
    <t>2nd Light in Place</t>
  </si>
  <si>
    <t>Start 1st Light</t>
  </si>
  <si>
    <t>End 1st Light</t>
  </si>
  <si>
    <t>Start 2nd Light</t>
  </si>
  <si>
    <t>End 2nd Light</t>
  </si>
  <si>
    <t>Start 1st + 2nd Lights</t>
  </si>
  <si>
    <t>End Double Lights</t>
  </si>
  <si>
    <t>Lights Out</t>
  </si>
  <si>
    <t>Condition A Applied First (B second)
Note: Lit each Light at start, but didn't have everything set up, so blew out. Light meter recordings were restarted before they were lit again. 
Manually recorded timestamps are likely somewhat close, but materially off - use video validated times (current column F)</t>
  </si>
  <si>
    <r>
      <rPr>
        <b/>
        <sz val="11"/>
        <color theme="1"/>
        <rFont val="Calibri"/>
        <family val="2"/>
      </rPr>
      <t>**Condition B applied first**</t>
    </r>
    <r>
      <rPr>
        <sz val="11"/>
        <color theme="1"/>
        <rFont val="Calibri"/>
        <family val="2"/>
      </rPr>
      <t xml:space="preserve">
(swapped from Run1)
Light A was still lit and extinguished first.
Recorded manual times likely more accurate this run (though not perfectly accurate). Likely 'good enough' for prelim analysis.</t>
    </r>
  </si>
  <si>
    <t>Jan12 Note: For Run2, the Light A "light meter" recording started about ~5:58 into Run2 video recording. And Light B a few seconds after, about ~6:23 (mm:ss format). That should allow at least syncing the light data pretty accurately, until we do the whole video / timing recon. May help prelim. analysis. Use absolute timestamps for robust analysis, though.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</si>
</sst>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h:mm:ss.000"/>
    <numFmt numFmtId="168" formatCode="hh:mm:ss"/>
  </numFmts>
  <fonts count="9" x14ac:knownFonts="1">
    <font>
      <sz val="12"/>
      <color theme="1"/>
      <name val="Aptos Narrow"/>
      <family val="2"/>
      <scheme val="minor"/>
    </font>
    <font>
      <sz val="11"/>
      <color theme="1"/>
      <name val="Calibri"/>
      <family val="2"/>
    </font>
    <font>
      <b/>
      <sz val="11"/>
      <color theme="1"/>
      <name val="Calibri"/>
      <family val="2"/>
    </font>
    <font>
      <b/>
      <sz val="18"/>
      <color theme="1"/>
      <name val="Calibri"/>
      <family val="2"/>
    </font>
    <font>
      <i/>
      <sz val="11"/>
      <color theme="1"/>
      <name val="Calibri"/>
      <family val="2"/>
    </font>
    <font>
      <b/>
      <sz val="11"/>
      <color rgb="FF0070C0"/>
      <name val="Calibri"/>
      <family val="2"/>
    </font>
    <font>
      <b/>
      <i/>
      <sz val="11"/>
      <color theme="1"/>
      <name val="Calibri"/>
      <family val="2"/>
    </font>
    <font>
      <i/>
      <sz val="11"/>
      <color theme="2" tint="-0.249977111117893"/>
      <name val="Calibri"/>
      <family val="2"/>
    </font>
    <font>
      <b/>
      <sz val="28"/>
      <color theme="1"/>
      <name val="Calibri"/>
      <family val="2"/>
    </font>
  </fonts>
  <fills count="5">
    <fill>
      <patternFill patternType="none"/>
    </fill>
    <fill>
      <patternFill patternType="gray125"/>
    </fill>
    <fill>
      <patternFill patternType="solid">
        <fgColor theme="5" tint="0.79998168889431442"/>
        <bgColor indexed="64"/>
      </patternFill>
    </fill>
    <fill>
      <patternFill patternType="solid">
        <fgColor theme="8" tint="0.79998168889431442"/>
        <bgColor indexed="64"/>
      </patternFill>
    </fill>
    <fill>
      <patternFill patternType="solid">
        <fgColor theme="0" tint="-0.14999847407452621"/>
        <bgColor indexed="64"/>
      </patternFill>
    </fill>
  </fills>
  <borders count="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0" fontId="1" fillId="0" borderId="0" xfId="0" applyFont="1"/>
    <xf numFmtId="0" fontId="2" fillId="0" borderId="0" xfId="0" applyFont="1"/>
    <xf numFmtId="0" fontId="1" fillId="0" borderId="1" xfId="0" applyFont="1" applyBorder="1"/>
    <xf numFmtId="0" fontId="1" fillId="0" borderId="1" xfId="0" applyFont="1" applyBorder="1" applyAlignment="1">
      <alignment horizontal="right"/>
    </xf>
    <xf numFmtId="0" fontId="4" fillId="0" borderId="0" xfId="0" applyFont="1"/>
    <xf numFmtId="0" fontId="1" fillId="0" borderId="0" xfId="0" applyFont="1" applyAlignment="1">
      <alignment vertical="top"/>
    </xf>
    <xf numFmtId="0" fontId="3" fillId="2" borderId="2" xfId="0" applyFont="1" applyFill="1" applyBorder="1" applyAlignment="1">
      <alignment horizontal="center"/>
    </xf>
    <xf numFmtId="164" fontId="2" fillId="2" borderId="2" xfId="0" applyNumberFormat="1" applyFont="1" applyFill="1" applyBorder="1" applyAlignment="1">
      <alignment horizontal="right"/>
    </xf>
    <xf numFmtId="168" fontId="2" fillId="2" borderId="2" xfId="0" applyNumberFormat="1" applyFont="1" applyFill="1" applyBorder="1" applyAlignment="1">
      <alignment horizontal="right"/>
    </xf>
    <xf numFmtId="164" fontId="6" fillId="2" borderId="2" xfId="0" applyNumberFormat="1" applyFont="1" applyFill="1" applyBorder="1" applyAlignment="1">
      <alignment horizontal="center" wrapText="1"/>
    </xf>
    <xf numFmtId="164" fontId="4" fillId="3" borderId="2" xfId="0" applyNumberFormat="1" applyFont="1" applyFill="1" applyBorder="1" applyAlignment="1">
      <alignment horizontal="center" wrapText="1"/>
    </xf>
    <xf numFmtId="164" fontId="4" fillId="2" borderId="2" xfId="0" applyNumberFormat="1" applyFont="1" applyFill="1" applyBorder="1" applyAlignment="1">
      <alignment wrapText="1"/>
    </xf>
    <xf numFmtId="164" fontId="4" fillId="3" borderId="2" xfId="0" applyNumberFormat="1" applyFont="1" applyFill="1" applyBorder="1" applyAlignment="1">
      <alignment wrapText="1"/>
    </xf>
    <xf numFmtId="164" fontId="2" fillId="2" borderId="2" xfId="0" applyNumberFormat="1" applyFont="1" applyFill="1" applyBorder="1" applyAlignment="1">
      <alignment horizontal="center" wrapText="1"/>
    </xf>
    <xf numFmtId="164" fontId="2" fillId="3" borderId="2" xfId="0" applyNumberFormat="1" applyFont="1" applyFill="1" applyBorder="1" applyAlignment="1">
      <alignment horizontal="center" wrapText="1"/>
    </xf>
    <xf numFmtId="45" fontId="2" fillId="2" borderId="2" xfId="0" applyNumberFormat="1" applyFont="1" applyFill="1" applyBorder="1" applyAlignment="1">
      <alignment horizontal="right"/>
    </xf>
    <xf numFmtId="168" fontId="5" fillId="3" borderId="2" xfId="0" applyNumberFormat="1" applyFont="1" applyFill="1" applyBorder="1" applyAlignment="1">
      <alignment horizontal="right"/>
    </xf>
    <xf numFmtId="168" fontId="2" fillId="3" borderId="2" xfId="0" applyNumberFormat="1" applyFont="1" applyFill="1" applyBorder="1" applyAlignment="1">
      <alignment horizontal="right"/>
    </xf>
    <xf numFmtId="0" fontId="7" fillId="0" borderId="0" xfId="0" applyFont="1" applyAlignment="1">
      <alignment horizontal="right"/>
    </xf>
    <xf numFmtId="164" fontId="2" fillId="4" borderId="2" xfId="0" applyNumberFormat="1" applyFont="1" applyFill="1" applyBorder="1" applyAlignment="1">
      <alignment horizontal="center" wrapText="1"/>
    </xf>
    <xf numFmtId="0" fontId="4" fillId="4" borderId="1" xfId="0" applyFont="1" applyFill="1" applyBorder="1" applyAlignment="1">
      <alignment wrapText="1"/>
    </xf>
    <xf numFmtId="0" fontId="1" fillId="4" borderId="1" xfId="0" applyFont="1" applyFill="1" applyBorder="1"/>
    <xf numFmtId="0" fontId="3" fillId="4" borderId="1" xfId="0" applyFont="1" applyFill="1" applyBorder="1" applyAlignment="1">
      <alignment horizontal="center"/>
    </xf>
    <xf numFmtId="0" fontId="8" fillId="0" borderId="2" xfId="0" applyFont="1" applyBorder="1" applyAlignment="1">
      <alignment horizontal="right" vertical="top"/>
    </xf>
    <xf numFmtId="0" fontId="1" fillId="0" borderId="2" xfId="0" applyFont="1" applyBorder="1" applyAlignment="1">
      <alignment vertical="top"/>
    </xf>
    <xf numFmtId="0" fontId="1" fillId="0" borderId="2" xfId="0" applyFont="1" applyBorder="1" applyAlignment="1">
      <alignment vertical="top" wrapText="1"/>
    </xf>
    <xf numFmtId="0" fontId="2" fillId="0" borderId="2" xfId="0" applyFont="1" applyBorder="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2D438-6D31-9042-ABA1-89492B38CD2B}">
  <sheetPr codeName="Sheet1"/>
  <dimension ref="B1:I29"/>
  <sheetViews>
    <sheetView tabSelected="1" zoomScale="110" zoomScaleNormal="110" workbookViewId="0">
      <pane xSplit="3" ySplit="6" topLeftCell="G7" activePane="bottomRight" state="frozen"/>
      <selection pane="topRight" activeCell="D1" sqref="D1"/>
      <selection pane="bottomLeft" activeCell="A6" sqref="A6"/>
      <selection pane="bottomRight" activeCell="H1" sqref="H1:H1048576"/>
    </sheetView>
  </sheetViews>
  <sheetFormatPr baseColWidth="10" defaultRowHeight="15" x14ac:dyDescent="0.2"/>
  <cols>
    <col min="1" max="1" width="10.83203125" style="1"/>
    <col min="2" max="2" width="15.83203125" style="1" customWidth="1"/>
    <col min="3" max="3" width="28.83203125" style="1" customWidth="1"/>
    <col min="4" max="9" width="26.83203125" style="1" customWidth="1"/>
    <col min="10" max="16384" width="10.83203125" style="1"/>
  </cols>
  <sheetData>
    <row r="1" spans="2:9" x14ac:dyDescent="0.2">
      <c r="D1" s="1" t="s">
        <v>9</v>
      </c>
    </row>
    <row r="2" spans="2:9" x14ac:dyDescent="0.2">
      <c r="D2" s="2" t="s">
        <v>8</v>
      </c>
      <c r="E2" s="19" t="s">
        <v>21</v>
      </c>
      <c r="F2" s="18" t="str">
        <f>IFERROR(F$7+E2,"")</f>
        <v/>
      </c>
      <c r="G2" s="5"/>
    </row>
    <row r="3" spans="2:9" x14ac:dyDescent="0.2">
      <c r="D3" s="1" t="s">
        <v>11</v>
      </c>
    </row>
    <row r="4" spans="2:9" s="3" customFormat="1" ht="34" x14ac:dyDescent="0.3">
      <c r="C4" s="23" t="s">
        <v>24</v>
      </c>
      <c r="D4" s="7" t="s">
        <v>13</v>
      </c>
      <c r="E4" s="7"/>
      <c r="F4" s="11" t="s">
        <v>23</v>
      </c>
      <c r="G4" s="7" t="s">
        <v>22</v>
      </c>
      <c r="H4" s="7"/>
      <c r="I4" s="11" t="s">
        <v>23</v>
      </c>
    </row>
    <row r="5" spans="2:9" s="3" customFormat="1" ht="48" x14ac:dyDescent="0.2">
      <c r="B5" s="4"/>
      <c r="C5" s="20"/>
      <c r="D5" s="14" t="s">
        <v>16</v>
      </c>
      <c r="E5" s="10" t="s">
        <v>17</v>
      </c>
      <c r="F5" s="15" t="s">
        <v>18</v>
      </c>
      <c r="G5" s="14" t="s">
        <v>16</v>
      </c>
      <c r="H5" s="10" t="s">
        <v>17</v>
      </c>
      <c r="I5" s="15" t="s">
        <v>18</v>
      </c>
    </row>
    <row r="6" spans="2:9" s="3" customFormat="1" ht="64" x14ac:dyDescent="0.2">
      <c r="B6" s="4"/>
      <c r="C6" s="21" t="s">
        <v>25</v>
      </c>
      <c r="D6" s="12" t="s">
        <v>19</v>
      </c>
      <c r="E6" s="12" t="s">
        <v>20</v>
      </c>
      <c r="F6" s="13" t="s">
        <v>27</v>
      </c>
      <c r="G6" s="12" t="s">
        <v>19</v>
      </c>
      <c r="H6" s="12" t="s">
        <v>20</v>
      </c>
      <c r="I6" s="13" t="s">
        <v>27</v>
      </c>
    </row>
    <row r="7" spans="2:9" s="3" customFormat="1" x14ac:dyDescent="0.2">
      <c r="B7" s="4" t="s">
        <v>14</v>
      </c>
      <c r="C7" s="22"/>
      <c r="D7" s="8" t="s">
        <v>12</v>
      </c>
      <c r="E7" s="16"/>
      <c r="F7" s="17">
        <v>1.7881944444444443E-2</v>
      </c>
      <c r="G7" s="8"/>
      <c r="H7" s="16"/>
      <c r="I7" s="17">
        <v>8.0173611111111112E-2</v>
      </c>
    </row>
    <row r="8" spans="2:9" s="3" customFormat="1" x14ac:dyDescent="0.2">
      <c r="B8" s="4" t="s">
        <v>28</v>
      </c>
      <c r="C8" s="22" t="s">
        <v>26</v>
      </c>
      <c r="D8" s="9"/>
      <c r="E8" s="16">
        <v>7.3495370370370372E-3</v>
      </c>
      <c r="F8" s="18">
        <f>IFERROR(F$7+E8,"")</f>
        <v>2.523148148148148E-2</v>
      </c>
      <c r="G8" s="9">
        <v>46034.085023148145</v>
      </c>
      <c r="H8" s="16">
        <v>4.7916666666666663E-3</v>
      </c>
      <c r="I8" s="18">
        <f t="shared" ref="I8:I25" si="0">IFERROR(I$7+H8,"")</f>
        <v>8.4965277777777778E-2</v>
      </c>
    </row>
    <row r="9" spans="2:9" s="3" customFormat="1" x14ac:dyDescent="0.2">
      <c r="B9" s="4" t="s">
        <v>29</v>
      </c>
      <c r="C9" s="22"/>
      <c r="D9" s="9"/>
      <c r="E9" s="16">
        <v>7.5694444444444446E-3</v>
      </c>
      <c r="F9" s="18">
        <f t="shared" ref="F9:F24" si="1">IFERROR(F$7+E9,"")</f>
        <v>2.5451388888888888E-2</v>
      </c>
      <c r="G9" s="9">
        <v>46034.085185185184</v>
      </c>
      <c r="H9" s="16">
        <v>4.9652777777777777E-3</v>
      </c>
      <c r="I9" s="18">
        <f t="shared" si="0"/>
        <v>8.5138888888888889E-2</v>
      </c>
    </row>
    <row r="10" spans="2:9" s="3" customFormat="1" x14ac:dyDescent="0.2">
      <c r="B10" s="4" t="s">
        <v>1</v>
      </c>
      <c r="C10" s="22"/>
      <c r="D10" s="9">
        <v>46034.025914351849</v>
      </c>
      <c r="E10" s="16">
        <v>7.6041666666666671E-3</v>
      </c>
      <c r="F10" s="18">
        <f t="shared" si="1"/>
        <v>2.5486111111111112E-2</v>
      </c>
      <c r="G10" s="9">
        <v>46034.085231481484</v>
      </c>
      <c r="H10" s="16">
        <v>5.0578703703703697E-3</v>
      </c>
      <c r="I10" s="18">
        <f t="shared" si="0"/>
        <v>8.5231481481481478E-2</v>
      </c>
    </row>
    <row r="11" spans="2:9" s="3" customFormat="1" x14ac:dyDescent="0.2">
      <c r="B11" s="4" t="s">
        <v>2</v>
      </c>
      <c r="C11" s="22"/>
      <c r="D11" s="9"/>
      <c r="E11" s="16">
        <v>8.3912037037037045E-3</v>
      </c>
      <c r="F11" s="18">
        <f t="shared" si="1"/>
        <v>2.627314814814815E-2</v>
      </c>
      <c r="G11" s="9">
        <v>46034.085960648146</v>
      </c>
      <c r="H11" s="16">
        <v>5.7986111111111112E-3</v>
      </c>
      <c r="I11" s="18">
        <f t="shared" si="0"/>
        <v>8.5972222222222228E-2</v>
      </c>
    </row>
    <row r="12" spans="2:9" s="3" customFormat="1" x14ac:dyDescent="0.2">
      <c r="B12" s="4" t="s">
        <v>30</v>
      </c>
      <c r="C12" s="22"/>
      <c r="D12" s="9">
        <v>46034.026759259257</v>
      </c>
      <c r="E12" s="16">
        <v>8.8888888888888889E-3</v>
      </c>
      <c r="F12" s="18">
        <f t="shared" si="1"/>
        <v>2.6770833333333334E-2</v>
      </c>
      <c r="G12" s="9">
        <v>46034.086053240739</v>
      </c>
      <c r="H12" s="16">
        <v>5.868055555555556E-3</v>
      </c>
      <c r="I12" s="18">
        <f t="shared" si="0"/>
        <v>8.6041666666666669E-2</v>
      </c>
    </row>
    <row r="13" spans="2:9" s="3" customFormat="1" x14ac:dyDescent="0.2">
      <c r="B13" s="4" t="s">
        <v>31</v>
      </c>
      <c r="C13" s="22"/>
      <c r="D13" s="9"/>
      <c r="E13" s="16">
        <v>1.0011574074074074E-2</v>
      </c>
      <c r="F13" s="18">
        <f t="shared" si="1"/>
        <v>2.7893518518518519E-2</v>
      </c>
      <c r="G13" s="9">
        <v>46034.086782407408</v>
      </c>
      <c r="H13" s="16">
        <v>6.5624999999999998E-3</v>
      </c>
      <c r="I13" s="18">
        <f t="shared" si="0"/>
        <v>8.6736111111111111E-2</v>
      </c>
    </row>
    <row r="14" spans="2:9" s="3" customFormat="1" x14ac:dyDescent="0.2">
      <c r="B14" s="4" t="s">
        <v>0</v>
      </c>
      <c r="C14" s="22"/>
      <c r="D14" s="9">
        <v>46034.028344907405</v>
      </c>
      <c r="E14" s="16">
        <v>1.050925925925926E-2</v>
      </c>
      <c r="F14" s="18">
        <f t="shared" si="1"/>
        <v>2.8391203703703703E-2</v>
      </c>
      <c r="G14" s="9">
        <v>46034.086875000001</v>
      </c>
      <c r="H14" s="16">
        <v>6.6550925925925927E-3</v>
      </c>
      <c r="I14" s="18">
        <f t="shared" si="0"/>
        <v>8.68287037037037E-2</v>
      </c>
    </row>
    <row r="15" spans="2:9" s="3" customFormat="1" x14ac:dyDescent="0.2">
      <c r="B15" s="4" t="s">
        <v>3</v>
      </c>
      <c r="C15" s="22"/>
      <c r="D15" s="9">
        <v>46034.029282407406</v>
      </c>
      <c r="E15" s="16">
        <v>1.1284722222222222E-2</v>
      </c>
      <c r="F15" s="18">
        <f t="shared" si="1"/>
        <v>2.9166666666666667E-2</v>
      </c>
      <c r="G15" s="9">
        <v>46034.087638888886</v>
      </c>
      <c r="H15" s="16">
        <v>7.3958333333333333E-3</v>
      </c>
      <c r="I15" s="18">
        <f t="shared" si="0"/>
        <v>8.756944444444445E-2</v>
      </c>
    </row>
    <row r="16" spans="2:9" s="3" customFormat="1" x14ac:dyDescent="0.2">
      <c r="B16" s="4" t="s">
        <v>32</v>
      </c>
      <c r="C16" s="22"/>
      <c r="D16" s="9"/>
      <c r="E16" s="16">
        <v>1.1412037037037037E-2</v>
      </c>
      <c r="F16" s="18">
        <f t="shared" si="1"/>
        <v>2.929398148148148E-2</v>
      </c>
      <c r="G16" s="9">
        <v>46034.087673611109</v>
      </c>
      <c r="H16" s="16">
        <v>7.4884259259259262E-3</v>
      </c>
      <c r="I16" s="18">
        <f t="shared" si="0"/>
        <v>8.7662037037037038E-2</v>
      </c>
    </row>
    <row r="17" spans="2:9" s="3" customFormat="1" x14ac:dyDescent="0.2">
      <c r="B17" s="4" t="s">
        <v>33</v>
      </c>
      <c r="C17" s="22"/>
      <c r="D17" s="9"/>
      <c r="E17" s="16">
        <v>1.2106481481481482E-2</v>
      </c>
      <c r="F17" s="18">
        <f t="shared" si="1"/>
        <v>2.9988425925925925E-2</v>
      </c>
      <c r="G17" s="9">
        <v>46034.088414351849</v>
      </c>
      <c r="H17" s="16">
        <v>8.1712962962962963E-3</v>
      </c>
      <c r="I17" s="18">
        <f t="shared" si="0"/>
        <v>8.8344907407407414E-2</v>
      </c>
    </row>
    <row r="18" spans="2:9" s="3" customFormat="1" x14ac:dyDescent="0.2">
      <c r="B18" s="4" t="s">
        <v>4</v>
      </c>
      <c r="C18" s="22"/>
      <c r="D18" s="9">
        <v>46034.03025462963</v>
      </c>
      <c r="E18" s="16">
        <v>1.2395833333333333E-2</v>
      </c>
      <c r="F18" s="18">
        <f t="shared" si="1"/>
        <v>3.0277777777777778E-2</v>
      </c>
      <c r="G18" s="9">
        <v>46034.088541666664</v>
      </c>
      <c r="H18" s="16">
        <v>8.3217592592592596E-3</v>
      </c>
      <c r="I18" s="18">
        <f t="shared" si="0"/>
        <v>8.8495370370370377E-2</v>
      </c>
    </row>
    <row r="19" spans="2:9" s="3" customFormat="1" x14ac:dyDescent="0.2">
      <c r="B19" s="4" t="s">
        <v>5</v>
      </c>
      <c r="C19" s="22"/>
      <c r="D19" s="9">
        <v>46034.031238425923</v>
      </c>
      <c r="E19" s="16">
        <v>1.3125E-2</v>
      </c>
      <c r="F19" s="18">
        <f t="shared" si="1"/>
        <v>3.1006944444444441E-2</v>
      </c>
      <c r="G19" s="9">
        <v>46034.089282407411</v>
      </c>
      <c r="H19" s="16">
        <v>9.0393518518518505E-3</v>
      </c>
      <c r="I19" s="18">
        <f t="shared" si="0"/>
        <v>8.9212962962962966E-2</v>
      </c>
    </row>
    <row r="20" spans="2:9" s="3" customFormat="1" x14ac:dyDescent="0.2">
      <c r="B20" s="4" t="s">
        <v>34</v>
      </c>
      <c r="C20" s="22"/>
      <c r="D20" s="9"/>
      <c r="E20" s="16">
        <v>1.3391203703703704E-2</v>
      </c>
      <c r="F20" s="18">
        <f t="shared" si="1"/>
        <v>3.1273148148148147E-2</v>
      </c>
      <c r="G20" s="9">
        <v>46034.089398148149</v>
      </c>
      <c r="H20" s="16">
        <v>9.2129629629629627E-3</v>
      </c>
      <c r="I20" s="18">
        <f t="shared" si="0"/>
        <v>8.9386574074074077E-2</v>
      </c>
    </row>
    <row r="21" spans="2:9" s="3" customFormat="1" x14ac:dyDescent="0.2">
      <c r="B21" s="4" t="s">
        <v>35</v>
      </c>
      <c r="C21" s="22"/>
      <c r="D21" s="9"/>
      <c r="E21" s="16">
        <v>1.4097222222222223E-2</v>
      </c>
      <c r="F21" s="18">
        <f t="shared" si="1"/>
        <v>3.197916666666667E-2</v>
      </c>
      <c r="G21" s="9">
        <v>46034.090150462966</v>
      </c>
      <c r="H21" s="16">
        <v>1.0034722222222221E-2</v>
      </c>
      <c r="I21" s="18">
        <f t="shared" si="0"/>
        <v>9.0208333333333335E-2</v>
      </c>
    </row>
    <row r="22" spans="2:9" s="3" customFormat="1" x14ac:dyDescent="0.2">
      <c r="B22" s="4" t="s">
        <v>6</v>
      </c>
      <c r="C22" s="22"/>
      <c r="D22" s="9">
        <v>46034.032129629632</v>
      </c>
      <c r="E22" s="16">
        <v>1.425925925925926E-2</v>
      </c>
      <c r="F22" s="18">
        <f t="shared" si="1"/>
        <v>3.21412037037037E-2</v>
      </c>
      <c r="G22" s="9">
        <v>46034.090312499997</v>
      </c>
      <c r="H22" s="16">
        <v>1.0138888888888888E-2</v>
      </c>
      <c r="I22" s="18">
        <f t="shared" si="0"/>
        <v>9.0312500000000004E-2</v>
      </c>
    </row>
    <row r="23" spans="2:9" s="3" customFormat="1" x14ac:dyDescent="0.2">
      <c r="B23" s="4" t="s">
        <v>7</v>
      </c>
      <c r="C23" s="22"/>
      <c r="D23" s="9">
        <v>46034.032916666663</v>
      </c>
      <c r="E23" s="16">
        <v>1.4988425925925926E-2</v>
      </c>
      <c r="F23" s="18">
        <f t="shared" si="1"/>
        <v>3.2870370370370369E-2</v>
      </c>
      <c r="G23" s="9">
        <v>9.1087962962962968E-2</v>
      </c>
      <c r="H23" s="16">
        <v>1.0810185185185185E-2</v>
      </c>
      <c r="I23" s="18">
        <f t="shared" si="0"/>
        <v>9.0983796296296299E-2</v>
      </c>
    </row>
    <row r="24" spans="2:9" s="3" customFormat="1" x14ac:dyDescent="0.2">
      <c r="B24" s="4" t="s">
        <v>36</v>
      </c>
      <c r="C24" s="22"/>
      <c r="D24" s="9">
        <v>46034.033090277779</v>
      </c>
      <c r="E24" s="16">
        <v>1.5173611111111112E-2</v>
      </c>
      <c r="F24" s="18">
        <f t="shared" si="1"/>
        <v>3.3055555555555553E-2</v>
      </c>
      <c r="G24" s="9">
        <v>46034.091412037036</v>
      </c>
      <c r="H24" s="16">
        <v>1.1226851851851852E-2</v>
      </c>
      <c r="I24" s="18">
        <f t="shared" si="0"/>
        <v>9.1400462962962961E-2</v>
      </c>
    </row>
    <row r="25" spans="2:9" s="3" customFormat="1" x14ac:dyDescent="0.2">
      <c r="B25" s="4" t="s">
        <v>15</v>
      </c>
      <c r="C25" s="22"/>
      <c r="D25" s="9">
        <v>46034.034861111111</v>
      </c>
      <c r="E25" s="16"/>
      <c r="F25" s="18"/>
      <c r="G25" s="9"/>
      <c r="H25" s="16">
        <v>1.2233796296296295E-2</v>
      </c>
      <c r="I25" s="18">
        <f t="shared" si="0"/>
        <v>9.240740740740741E-2</v>
      </c>
    </row>
    <row r="26" spans="2:9" s="6" customFormat="1" ht="192" x14ac:dyDescent="0.2">
      <c r="B26" s="24" t="s">
        <v>10</v>
      </c>
      <c r="C26" s="25"/>
      <c r="D26" s="26" t="s">
        <v>37</v>
      </c>
      <c r="E26" s="26"/>
      <c r="F26" s="26"/>
      <c r="G26" s="26" t="s">
        <v>38</v>
      </c>
      <c r="H26" s="26" t="s">
        <v>39</v>
      </c>
      <c r="I26" s="27"/>
    </row>
    <row r="27" spans="2:9" x14ac:dyDescent="0.2">
      <c r="H27" s="2"/>
      <c r="I27" s="2"/>
    </row>
    <row r="28" spans="2:9" x14ac:dyDescent="0.2">
      <c r="H28" s="2"/>
      <c r="I28" s="2"/>
    </row>
    <row r="29" spans="2:9" x14ac:dyDescent="0.2">
      <c r="H29" s="2"/>
      <c r="I29"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Acer</dc:creator>
  <cp:lastModifiedBy>James Acer</cp:lastModifiedBy>
  <dcterms:created xsi:type="dcterms:W3CDTF">2026-01-12T06:02:27Z</dcterms:created>
  <dcterms:modified xsi:type="dcterms:W3CDTF">2026-01-13T08:53:41Z</dcterms:modified>
</cp:coreProperties>
</file>